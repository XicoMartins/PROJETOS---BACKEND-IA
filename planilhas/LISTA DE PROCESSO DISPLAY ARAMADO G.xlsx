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S:\PROJETOS EM ANDAMENTO\PAINEL DE CONTROLE MTECH\PROGRAMAS\PROJETOS---BACKEND-IA\planilhas\"/>
    </mc:Choice>
  </mc:AlternateContent>
  <xr:revisionPtr revIDLastSave="0" documentId="13_ncr:1_{A38E9509-7F92-43E1-9339-95AED4DD60F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n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9" i="1" l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<sst xmlns="http://schemas.openxmlformats.org/spreadsheetml/2006/main" count="347" uniqueCount="150">
  <si>
    <t>CLIENTE</t>
  </si>
  <si>
    <t>ACABADO</t>
  </si>
  <si>
    <t>FERRAMENTAL</t>
  </si>
  <si>
    <t>PROCESSO</t>
  </si>
  <si>
    <t>QNT</t>
  </si>
  <si>
    <t>QNT TOTAL</t>
  </si>
  <si>
    <t>JDE COFFEE</t>
  </si>
  <si>
    <t>DISPLAY ARAMADO G</t>
  </si>
  <si>
    <t>Laser Tube</t>
  </si>
  <si>
    <t>20X20 Nest 1</t>
  </si>
  <si>
    <t>20X20 Nest 2</t>
  </si>
  <si>
    <t>20X20 Nest 3</t>
  </si>
  <si>
    <t>20X20 Nest 4</t>
  </si>
  <si>
    <t>20X20 Nest 5</t>
  </si>
  <si>
    <t>20X20 Nest 6</t>
  </si>
  <si>
    <t>20X20 Nest 7</t>
  </si>
  <si>
    <t>20X20 Nest 8</t>
  </si>
  <si>
    <t>Laser Chapa</t>
  </si>
  <si>
    <t>0,75 Nest 1</t>
  </si>
  <si>
    <t>0,75 Nest 2</t>
  </si>
  <si>
    <t>0,75 Nest 3</t>
  </si>
  <si>
    <t>0,75 Nest 4</t>
  </si>
  <si>
    <t>0,75 Nest 5</t>
  </si>
  <si>
    <t>0,75 Nest 6</t>
  </si>
  <si>
    <t>0,75 Nest 7</t>
  </si>
  <si>
    <t>0,75 Nest 8</t>
  </si>
  <si>
    <t>0,75 Nest 9</t>
  </si>
  <si>
    <t>0,75 Nest 10</t>
  </si>
  <si>
    <t>0,75 Nest 11</t>
  </si>
  <si>
    <t>0,75 Nest 12</t>
  </si>
  <si>
    <t>0,75 Nest 13</t>
  </si>
  <si>
    <t>0,75 Nest 14</t>
  </si>
  <si>
    <t>0,75 Nest 15</t>
  </si>
  <si>
    <t>0,75 Nest 16</t>
  </si>
  <si>
    <t>0,75 Nest 17</t>
  </si>
  <si>
    <t>2,65mm Nest 1</t>
  </si>
  <si>
    <t>2,65mm Nest 2</t>
  </si>
  <si>
    <t>Guilhotina</t>
  </si>
  <si>
    <t>CORPO ◄J► 120 mm</t>
  </si>
  <si>
    <t>CORPO ◄J► 210 mm</t>
  </si>
  <si>
    <t>Serra</t>
  </si>
  <si>
    <t>Parachoque</t>
  </si>
  <si>
    <t>Tubo Testeira e Corpo 360mm</t>
  </si>
  <si>
    <t>Dobradeira de Arames</t>
  </si>
  <si>
    <t>Arame Bdj</t>
  </si>
  <si>
    <t>Dobradeira de Tubos</t>
  </si>
  <si>
    <t>Dobradeira de Chapas</t>
  </si>
  <si>
    <t>Bandeja</t>
  </si>
  <si>
    <t>Bandeja Amassamento</t>
  </si>
  <si>
    <t>J 786mm Lateral</t>
  </si>
  <si>
    <t>J 1200mm Traseira</t>
  </si>
  <si>
    <t>J 400mm Base</t>
  </si>
  <si>
    <t>J 120mm Base</t>
  </si>
  <si>
    <t>J 210mm Base</t>
  </si>
  <si>
    <t>Encaixe Tubo Testeira</t>
  </si>
  <si>
    <t>Solda Mig</t>
  </si>
  <si>
    <t>Fechamento Base</t>
  </si>
  <si>
    <t>Quadro Traseiro</t>
  </si>
  <si>
    <t>Corpo + Base Curvada</t>
  </si>
  <si>
    <t>Canaleta Base</t>
  </si>
  <si>
    <t>Canaleta no Corpo</t>
  </si>
  <si>
    <t>Bdj no Corpo</t>
  </si>
  <si>
    <t>Parachoque no Corpo</t>
  </si>
  <si>
    <t>Testeira</t>
  </si>
  <si>
    <t>Apoio Rodizio</t>
  </si>
  <si>
    <t>0,75 Nest 1 AJUSTADA</t>
  </si>
  <si>
    <t>0,75 Nest 2 AJUSTADA</t>
  </si>
  <si>
    <t>0,75 Nest 3 AJUSTADA</t>
  </si>
  <si>
    <t>0,75 Nest 4 AJUSTADA</t>
  </si>
  <si>
    <t>0,75 Nest 5 AJUSTADA</t>
  </si>
  <si>
    <t>0,75 Nest 6 AJUSTADA</t>
  </si>
  <si>
    <t>0,75 Nest 7 AJUSTADA</t>
  </si>
  <si>
    <t>0,75 Nest 8 AJUSTADA</t>
  </si>
  <si>
    <t>0,75 Nest 9 AJUSTADA</t>
  </si>
  <si>
    <t>0,75 Nest 10 AJUSTADA</t>
  </si>
  <si>
    <t>0,75 Nest 11 AJUSTADA</t>
  </si>
  <si>
    <t>0,75 Nest 12 AJUSTADA</t>
  </si>
  <si>
    <t>0,75 Nest 13 AJUSTADA</t>
  </si>
  <si>
    <t>0,75 Nest 14 AJUSTADA</t>
  </si>
  <si>
    <t>0,75 Nest 15 AJUSTADA</t>
  </si>
  <si>
    <t>0,75 Nest 16 AJUSTADA</t>
  </si>
  <si>
    <t>PROCESSO_ID</t>
  </si>
  <si>
    <t>000030</t>
  </si>
  <si>
    <t>000031</t>
  </si>
  <si>
    <t>000032</t>
  </si>
  <si>
    <t>000033</t>
  </si>
  <si>
    <t>000034</t>
  </si>
  <si>
    <t>000035</t>
  </si>
  <si>
    <t>000036</t>
  </si>
  <si>
    <t>000037</t>
  </si>
  <si>
    <t>000038</t>
  </si>
  <si>
    <t>000039</t>
  </si>
  <si>
    <t>000040</t>
  </si>
  <si>
    <t>000041</t>
  </si>
  <si>
    <t>000042</t>
  </si>
  <si>
    <t>000043</t>
  </si>
  <si>
    <t>000044</t>
  </si>
  <si>
    <t>000045</t>
  </si>
  <si>
    <t>000046</t>
  </si>
  <si>
    <t>000047</t>
  </si>
  <si>
    <t>000048</t>
  </si>
  <si>
    <t>000049</t>
  </si>
  <si>
    <t>000050</t>
  </si>
  <si>
    <t>000051</t>
  </si>
  <si>
    <t>000052</t>
  </si>
  <si>
    <t>000053</t>
  </si>
  <si>
    <t>000054</t>
  </si>
  <si>
    <t>000055</t>
  </si>
  <si>
    <t>000056</t>
  </si>
  <si>
    <t>000057</t>
  </si>
  <si>
    <t>000058</t>
  </si>
  <si>
    <t>000059</t>
  </si>
  <si>
    <t>000060</t>
  </si>
  <si>
    <t>000061</t>
  </si>
  <si>
    <t>000062</t>
  </si>
  <si>
    <t>000063</t>
  </si>
  <si>
    <t>000064</t>
  </si>
  <si>
    <t>000065</t>
  </si>
  <si>
    <t>000066</t>
  </si>
  <si>
    <t>000067</t>
  </si>
  <si>
    <t>000068</t>
  </si>
  <si>
    <t>000069</t>
  </si>
  <si>
    <t>000070</t>
  </si>
  <si>
    <t>000071</t>
  </si>
  <si>
    <t>000072</t>
  </si>
  <si>
    <t>000073</t>
  </si>
  <si>
    <t>000074</t>
  </si>
  <si>
    <t>000075</t>
  </si>
  <si>
    <t>000076</t>
  </si>
  <si>
    <t>000077</t>
  </si>
  <si>
    <t>000078</t>
  </si>
  <si>
    <t>000079</t>
  </si>
  <si>
    <t>000080</t>
  </si>
  <si>
    <t>000081</t>
  </si>
  <si>
    <t>000082</t>
  </si>
  <si>
    <t>000083</t>
  </si>
  <si>
    <t>000084</t>
  </si>
  <si>
    <t>000085</t>
  </si>
  <si>
    <t>000086</t>
  </si>
  <si>
    <t>000087</t>
  </si>
  <si>
    <t>000088</t>
  </si>
  <si>
    <t>000089</t>
  </si>
  <si>
    <t>000090</t>
  </si>
  <si>
    <t>000091</t>
  </si>
  <si>
    <t>000092</t>
  </si>
  <si>
    <t>000093</t>
  </si>
  <si>
    <t>000094</t>
  </si>
  <si>
    <t>000095</t>
  </si>
  <si>
    <t>000096</t>
  </si>
  <si>
    <t>000097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</si>
</sst>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9"/>
  <sheetViews>
    <sheetView showGridLines="0" tabSelected="1" workbookViewId="0">
      <selection activeCell="P9" sqref="P9"/>
    </sheetView>
  </sheetViews>
  <sheetFormatPr defaultRowHeight="15" x14ac:dyDescent="0.25"/>
  <cols>
    <col min="1" max="1" width="24.85546875" customWidth="1"/>
    <col min="2" max="2" width="32.7109375" customWidth="1"/>
    <col min="3" max="3" width="27.85546875" customWidth="1"/>
    <col min="4" max="4" width="38.85546875" customWidth="1"/>
    <col min="5" max="5" width="8.5703125" customWidth="1"/>
    <col min="6" max="6" width="12.28515625" customWidth="1"/>
    <col min="7" max="7" width="14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81</v>
      </c>
    </row>
    <row r="2" spans="1:7" x14ac:dyDescent="0.25">
      <c r="A2" t="s">
        <v>6</v>
      </c>
      <c r="B2" t="s">
        <v>7</v>
      </c>
      <c r="C2" t="s">
        <v>8</v>
      </c>
      <c r="D2" t="s">
        <v>9</v>
      </c>
      <c r="E2" s="1">
        <f>F2/1198</f>
        <v>0.3330550918196995</v>
      </c>
      <c r="F2">
        <v>399</v>
      </c>
      <c r="G2" s="2" t="s">
        <v>82</v>
      </c>
    </row>
    <row r="3" spans="1:7" x14ac:dyDescent="0.25">
      <c r="A3" t="s">
        <v>6</v>
      </c>
      <c r="B3" t="s">
        <v>7</v>
      </c>
      <c r="C3" t="s">
        <v>8</v>
      </c>
      <c r="D3" t="s">
        <v>10</v>
      </c>
      <c r="E3" s="1">
        <f t="shared" ref="E3:E28" si="0">F3/1198</f>
        <v>0.4991652754590985</v>
      </c>
      <c r="F3">
        <v>598</v>
      </c>
      <c r="G3" s="2" t="s">
        <v>83</v>
      </c>
    </row>
    <row r="4" spans="1:7" x14ac:dyDescent="0.25">
      <c r="A4" t="s">
        <v>6</v>
      </c>
      <c r="B4" t="s">
        <v>7</v>
      </c>
      <c r="C4" t="s">
        <v>8</v>
      </c>
      <c r="D4" t="s">
        <v>11</v>
      </c>
      <c r="E4" s="1">
        <f t="shared" si="0"/>
        <v>8.0968280467445738E-2</v>
      </c>
      <c r="F4">
        <v>97</v>
      </c>
      <c r="G4" s="2" t="s">
        <v>84</v>
      </c>
    </row>
    <row r="5" spans="1:7" x14ac:dyDescent="0.25">
      <c r="A5" t="s">
        <v>6</v>
      </c>
      <c r="B5" t="s">
        <v>7</v>
      </c>
      <c r="C5" t="s">
        <v>8</v>
      </c>
      <c r="D5" t="s">
        <v>12</v>
      </c>
      <c r="E5" s="1">
        <f t="shared" si="0"/>
        <v>0.18447412353923207</v>
      </c>
      <c r="F5">
        <v>221</v>
      </c>
      <c r="G5" s="2" t="s">
        <v>85</v>
      </c>
    </row>
    <row r="6" spans="1:7" x14ac:dyDescent="0.25">
      <c r="A6" t="s">
        <v>6</v>
      </c>
      <c r="B6" t="s">
        <v>7</v>
      </c>
      <c r="C6" t="s">
        <v>8</v>
      </c>
      <c r="D6" t="s">
        <v>13</v>
      </c>
      <c r="E6" s="1">
        <f t="shared" si="0"/>
        <v>0.2028380634390651</v>
      </c>
      <c r="F6">
        <v>243</v>
      </c>
      <c r="G6" s="2" t="s">
        <v>86</v>
      </c>
    </row>
    <row r="7" spans="1:7" x14ac:dyDescent="0.25">
      <c r="A7" t="s">
        <v>6</v>
      </c>
      <c r="B7" t="s">
        <v>7</v>
      </c>
      <c r="C7" t="s">
        <v>8</v>
      </c>
      <c r="D7" t="s">
        <v>14</v>
      </c>
      <c r="E7" s="1">
        <f t="shared" si="0"/>
        <v>0.22954924874791319</v>
      </c>
      <c r="F7">
        <v>275</v>
      </c>
      <c r="G7" s="2" t="s">
        <v>87</v>
      </c>
    </row>
    <row r="8" spans="1:7" x14ac:dyDescent="0.25">
      <c r="A8" t="s">
        <v>6</v>
      </c>
      <c r="B8" t="s">
        <v>7</v>
      </c>
      <c r="C8" t="s">
        <v>8</v>
      </c>
      <c r="D8" t="s">
        <v>15</v>
      </c>
      <c r="E8" s="1">
        <f t="shared" si="0"/>
        <v>8.3472454090150253E-4</v>
      </c>
      <c r="F8">
        <v>1</v>
      </c>
      <c r="G8" s="2" t="s">
        <v>88</v>
      </c>
    </row>
    <row r="9" spans="1:7" x14ac:dyDescent="0.25">
      <c r="A9" t="s">
        <v>6</v>
      </c>
      <c r="B9" t="s">
        <v>7</v>
      </c>
      <c r="C9" t="s">
        <v>8</v>
      </c>
      <c r="D9" t="s">
        <v>16</v>
      </c>
      <c r="E9" s="1">
        <f t="shared" si="0"/>
        <v>8.3472454090150253E-4</v>
      </c>
      <c r="F9">
        <v>1</v>
      </c>
      <c r="G9" s="2" t="s">
        <v>89</v>
      </c>
    </row>
    <row r="10" spans="1:7" x14ac:dyDescent="0.25">
      <c r="A10" t="s">
        <v>6</v>
      </c>
      <c r="B10" t="s">
        <v>7</v>
      </c>
      <c r="C10" t="s">
        <v>17</v>
      </c>
      <c r="D10" t="s">
        <v>18</v>
      </c>
      <c r="E10" s="1">
        <f t="shared" si="0"/>
        <v>6.0934891485809682E-2</v>
      </c>
      <c r="F10">
        <v>73</v>
      </c>
      <c r="G10" s="2" t="s">
        <v>90</v>
      </c>
    </row>
    <row r="11" spans="1:7" x14ac:dyDescent="0.25">
      <c r="A11" t="s">
        <v>6</v>
      </c>
      <c r="B11" t="s">
        <v>7</v>
      </c>
      <c r="C11" t="s">
        <v>17</v>
      </c>
      <c r="D11" t="s">
        <v>19</v>
      </c>
      <c r="E11" s="1">
        <f t="shared" si="0"/>
        <v>4.1736227045075125E-2</v>
      </c>
      <c r="F11">
        <v>50</v>
      </c>
      <c r="G11" s="2" t="s">
        <v>91</v>
      </c>
    </row>
    <row r="12" spans="1:7" x14ac:dyDescent="0.25">
      <c r="A12" t="s">
        <v>6</v>
      </c>
      <c r="B12" t="s">
        <v>7</v>
      </c>
      <c r="C12" t="s">
        <v>17</v>
      </c>
      <c r="D12" t="s">
        <v>20</v>
      </c>
      <c r="E12" s="1">
        <f t="shared" si="0"/>
        <v>9.9332220367278803E-2</v>
      </c>
      <c r="F12">
        <v>119</v>
      </c>
      <c r="G12" s="2" t="s">
        <v>92</v>
      </c>
    </row>
    <row r="13" spans="1:7" x14ac:dyDescent="0.25">
      <c r="A13" t="s">
        <v>6</v>
      </c>
      <c r="B13" t="s">
        <v>7</v>
      </c>
      <c r="C13" t="s">
        <v>17</v>
      </c>
      <c r="D13" t="s">
        <v>21</v>
      </c>
      <c r="E13" s="1">
        <f t="shared" si="0"/>
        <v>8.3472454090150253E-4</v>
      </c>
      <c r="F13">
        <v>1</v>
      </c>
      <c r="G13" s="2" t="s">
        <v>93</v>
      </c>
    </row>
    <row r="14" spans="1:7" x14ac:dyDescent="0.25">
      <c r="A14" t="s">
        <v>6</v>
      </c>
      <c r="B14" t="s">
        <v>7</v>
      </c>
      <c r="C14" t="s">
        <v>17</v>
      </c>
      <c r="D14" t="s">
        <v>22</v>
      </c>
      <c r="E14" s="1">
        <f t="shared" si="0"/>
        <v>9.2654424040066782E-2</v>
      </c>
      <c r="F14">
        <v>111</v>
      </c>
      <c r="G14" s="2" t="s">
        <v>94</v>
      </c>
    </row>
    <row r="15" spans="1:7" x14ac:dyDescent="0.25">
      <c r="A15" t="s">
        <v>6</v>
      </c>
      <c r="B15" t="s">
        <v>7</v>
      </c>
      <c r="C15" t="s">
        <v>17</v>
      </c>
      <c r="D15" t="s">
        <v>23</v>
      </c>
      <c r="E15" s="1">
        <f t="shared" si="0"/>
        <v>2.5041736227045075E-3</v>
      </c>
      <c r="F15">
        <v>3</v>
      </c>
      <c r="G15" s="2" t="s">
        <v>95</v>
      </c>
    </row>
    <row r="16" spans="1:7" x14ac:dyDescent="0.25">
      <c r="A16" t="s">
        <v>6</v>
      </c>
      <c r="B16" t="s">
        <v>7</v>
      </c>
      <c r="C16" t="s">
        <v>17</v>
      </c>
      <c r="D16" t="s">
        <v>24</v>
      </c>
      <c r="E16" s="1">
        <f t="shared" si="0"/>
        <v>6.6777963272120202E-3</v>
      </c>
      <c r="F16">
        <v>8</v>
      </c>
      <c r="G16" s="2" t="s">
        <v>96</v>
      </c>
    </row>
    <row r="17" spans="1:7" x14ac:dyDescent="0.25">
      <c r="A17" t="s">
        <v>6</v>
      </c>
      <c r="B17" t="s">
        <v>7</v>
      </c>
      <c r="C17" t="s">
        <v>17</v>
      </c>
      <c r="D17" t="s">
        <v>25</v>
      </c>
      <c r="E17" s="1">
        <f t="shared" si="0"/>
        <v>3.6727879799666109E-2</v>
      </c>
      <c r="F17">
        <v>44</v>
      </c>
      <c r="G17" s="2" t="s">
        <v>97</v>
      </c>
    </row>
    <row r="18" spans="1:7" x14ac:dyDescent="0.25">
      <c r="A18" t="s">
        <v>6</v>
      </c>
      <c r="B18" t="s">
        <v>7</v>
      </c>
      <c r="C18" t="s">
        <v>17</v>
      </c>
      <c r="D18" t="s">
        <v>26</v>
      </c>
      <c r="E18" s="1">
        <f t="shared" si="0"/>
        <v>1.4190317195325543E-2</v>
      </c>
      <c r="F18">
        <v>17</v>
      </c>
      <c r="G18" s="2" t="s">
        <v>98</v>
      </c>
    </row>
    <row r="19" spans="1:7" x14ac:dyDescent="0.25">
      <c r="A19" t="s">
        <v>6</v>
      </c>
      <c r="B19" t="s">
        <v>7</v>
      </c>
      <c r="C19" t="s">
        <v>17</v>
      </c>
      <c r="D19" t="s">
        <v>27</v>
      </c>
      <c r="E19" s="1">
        <f t="shared" si="0"/>
        <v>0.1310517529215359</v>
      </c>
      <c r="F19">
        <v>157</v>
      </c>
      <c r="G19" s="2" t="s">
        <v>99</v>
      </c>
    </row>
    <row r="20" spans="1:7" x14ac:dyDescent="0.25">
      <c r="A20" t="s">
        <v>6</v>
      </c>
      <c r="B20" t="s">
        <v>7</v>
      </c>
      <c r="C20" t="s">
        <v>17</v>
      </c>
      <c r="D20" t="s">
        <v>28</v>
      </c>
      <c r="E20" s="1">
        <f t="shared" si="0"/>
        <v>8.3472454090150253E-4</v>
      </c>
      <c r="F20">
        <v>1</v>
      </c>
      <c r="G20" s="2" t="s">
        <v>100</v>
      </c>
    </row>
    <row r="21" spans="1:7" x14ac:dyDescent="0.25">
      <c r="A21" t="s">
        <v>6</v>
      </c>
      <c r="B21" t="s">
        <v>7</v>
      </c>
      <c r="C21" t="s">
        <v>17</v>
      </c>
      <c r="D21" t="s">
        <v>29</v>
      </c>
      <c r="E21" s="1">
        <f t="shared" si="0"/>
        <v>8.3472454090150253E-4</v>
      </c>
      <c r="F21">
        <v>1</v>
      </c>
      <c r="G21" s="2" t="s">
        <v>101</v>
      </c>
    </row>
    <row r="22" spans="1:7" x14ac:dyDescent="0.25">
      <c r="A22" t="s">
        <v>6</v>
      </c>
      <c r="B22" t="s">
        <v>7</v>
      </c>
      <c r="C22" t="s">
        <v>17</v>
      </c>
      <c r="D22" t="s">
        <v>30</v>
      </c>
      <c r="E22" s="1">
        <f t="shared" si="0"/>
        <v>2.5041736227045075E-3</v>
      </c>
      <c r="F22">
        <v>3</v>
      </c>
      <c r="G22" s="2" t="s">
        <v>102</v>
      </c>
    </row>
    <row r="23" spans="1:7" x14ac:dyDescent="0.25">
      <c r="A23" t="s">
        <v>6</v>
      </c>
      <c r="B23" t="s">
        <v>7</v>
      </c>
      <c r="C23" t="s">
        <v>17</v>
      </c>
      <c r="D23" t="s">
        <v>31</v>
      </c>
      <c r="E23" s="1">
        <f t="shared" si="0"/>
        <v>8.3472454090150253E-4</v>
      </c>
      <c r="F23">
        <v>1</v>
      </c>
      <c r="G23" s="2" t="s">
        <v>103</v>
      </c>
    </row>
    <row r="24" spans="1:7" x14ac:dyDescent="0.25">
      <c r="A24" t="s">
        <v>6</v>
      </c>
      <c r="B24" t="s">
        <v>7</v>
      </c>
      <c r="C24" t="s">
        <v>17</v>
      </c>
      <c r="D24" t="s">
        <v>32</v>
      </c>
      <c r="E24" s="1">
        <f t="shared" si="0"/>
        <v>8.3472454090150246E-3</v>
      </c>
      <c r="F24">
        <v>10</v>
      </c>
      <c r="G24" s="2" t="s">
        <v>104</v>
      </c>
    </row>
    <row r="25" spans="1:7" x14ac:dyDescent="0.25">
      <c r="A25" t="s">
        <v>6</v>
      </c>
      <c r="B25" t="s">
        <v>7</v>
      </c>
      <c r="C25" t="s">
        <v>17</v>
      </c>
      <c r="D25" t="s">
        <v>33</v>
      </c>
      <c r="E25" s="1">
        <f t="shared" si="0"/>
        <v>1.4190317195325543E-2</v>
      </c>
      <c r="F25">
        <v>17</v>
      </c>
      <c r="G25" s="2" t="s">
        <v>105</v>
      </c>
    </row>
    <row r="26" spans="1:7" x14ac:dyDescent="0.25">
      <c r="A26" t="s">
        <v>6</v>
      </c>
      <c r="B26" t="s">
        <v>7</v>
      </c>
      <c r="C26" t="s">
        <v>17</v>
      </c>
      <c r="D26" t="s">
        <v>34</v>
      </c>
      <c r="E26" s="1">
        <f t="shared" si="0"/>
        <v>8.3472454090150253E-4</v>
      </c>
      <c r="F26">
        <v>1</v>
      </c>
      <c r="G26" s="2" t="s">
        <v>106</v>
      </c>
    </row>
    <row r="27" spans="1:7" x14ac:dyDescent="0.25">
      <c r="A27" t="s">
        <v>6</v>
      </c>
      <c r="B27" t="s">
        <v>7</v>
      </c>
      <c r="C27" t="s">
        <v>17</v>
      </c>
      <c r="D27" t="s">
        <v>35</v>
      </c>
      <c r="E27" s="1">
        <f t="shared" si="0"/>
        <v>5.008347245409015E-3</v>
      </c>
      <c r="F27">
        <v>6</v>
      </c>
      <c r="G27" s="2" t="s">
        <v>107</v>
      </c>
    </row>
    <row r="28" spans="1:7" x14ac:dyDescent="0.25">
      <c r="A28" t="s">
        <v>6</v>
      </c>
      <c r="B28" t="s">
        <v>7</v>
      </c>
      <c r="C28" t="s">
        <v>17</v>
      </c>
      <c r="D28" t="s">
        <v>36</v>
      </c>
      <c r="E28" s="1">
        <f t="shared" si="0"/>
        <v>8.3472454090150253E-4</v>
      </c>
      <c r="F28">
        <v>1</v>
      </c>
      <c r="G28" s="2" t="s">
        <v>108</v>
      </c>
    </row>
    <row r="29" spans="1:7" x14ac:dyDescent="0.25">
      <c r="A29" t="s">
        <v>6</v>
      </c>
      <c r="B29" t="s">
        <v>7</v>
      </c>
      <c r="C29" t="s">
        <v>37</v>
      </c>
      <c r="D29" t="s">
        <v>38</v>
      </c>
      <c r="E29">
        <v>2</v>
      </c>
      <c r="F29">
        <v>2396</v>
      </c>
      <c r="G29" s="2" t="s">
        <v>109</v>
      </c>
    </row>
    <row r="30" spans="1:7" x14ac:dyDescent="0.25">
      <c r="A30" t="s">
        <v>6</v>
      </c>
      <c r="B30" t="s">
        <v>7</v>
      </c>
      <c r="C30" t="s">
        <v>37</v>
      </c>
      <c r="D30" t="s">
        <v>39</v>
      </c>
      <c r="E30">
        <v>2</v>
      </c>
      <c r="F30">
        <v>2396</v>
      </c>
      <c r="G30" s="2" t="s">
        <v>110</v>
      </c>
    </row>
    <row r="31" spans="1:7" x14ac:dyDescent="0.25">
      <c r="A31" t="s">
        <v>6</v>
      </c>
      <c r="B31" t="s">
        <v>7</v>
      </c>
      <c r="C31" t="s">
        <v>40</v>
      </c>
      <c r="D31" t="s">
        <v>41</v>
      </c>
      <c r="E31">
        <v>1</v>
      </c>
      <c r="F31">
        <v>1198</v>
      </c>
      <c r="G31" s="2" t="s">
        <v>111</v>
      </c>
    </row>
    <row r="32" spans="1:7" x14ac:dyDescent="0.25">
      <c r="A32" t="s">
        <v>6</v>
      </c>
      <c r="B32" t="s">
        <v>7</v>
      </c>
      <c r="C32" t="s">
        <v>40</v>
      </c>
      <c r="D32" t="s">
        <v>42</v>
      </c>
      <c r="E32">
        <v>2</v>
      </c>
      <c r="F32">
        <v>2396</v>
      </c>
      <c r="G32" s="2" t="s">
        <v>112</v>
      </c>
    </row>
    <row r="33" spans="1:7" x14ac:dyDescent="0.25">
      <c r="A33" t="s">
        <v>6</v>
      </c>
      <c r="B33" t="s">
        <v>7</v>
      </c>
      <c r="C33" t="s">
        <v>43</v>
      </c>
      <c r="D33" t="s">
        <v>44</v>
      </c>
      <c r="E33">
        <v>8</v>
      </c>
      <c r="F33">
        <v>9584</v>
      </c>
      <c r="G33" s="2" t="s">
        <v>113</v>
      </c>
    </row>
    <row r="34" spans="1:7" x14ac:dyDescent="0.25">
      <c r="A34" t="s">
        <v>6</v>
      </c>
      <c r="B34" t="s">
        <v>7</v>
      </c>
      <c r="C34" t="s">
        <v>45</v>
      </c>
      <c r="D34" t="s">
        <v>41</v>
      </c>
      <c r="E34">
        <v>1</v>
      </c>
      <c r="F34">
        <v>1198</v>
      </c>
      <c r="G34" s="2" t="s">
        <v>114</v>
      </c>
    </row>
    <row r="35" spans="1:7" x14ac:dyDescent="0.25">
      <c r="A35" t="s">
        <v>6</v>
      </c>
      <c r="B35" t="s">
        <v>7</v>
      </c>
      <c r="C35" t="s">
        <v>46</v>
      </c>
      <c r="D35" t="s">
        <v>47</v>
      </c>
      <c r="E35">
        <v>4</v>
      </c>
      <c r="F35">
        <v>4792</v>
      </c>
      <c r="G35" s="2" t="s">
        <v>115</v>
      </c>
    </row>
    <row r="36" spans="1:7" x14ac:dyDescent="0.25">
      <c r="A36" t="s">
        <v>6</v>
      </c>
      <c r="B36" t="s">
        <v>7</v>
      </c>
      <c r="C36" t="s">
        <v>46</v>
      </c>
      <c r="D36" t="s">
        <v>48</v>
      </c>
      <c r="E36">
        <v>4</v>
      </c>
      <c r="F36">
        <v>4792</v>
      </c>
      <c r="G36" s="2" t="s">
        <v>116</v>
      </c>
    </row>
    <row r="37" spans="1:7" x14ac:dyDescent="0.25">
      <c r="A37" t="s">
        <v>6</v>
      </c>
      <c r="B37" t="s">
        <v>7</v>
      </c>
      <c r="C37" t="s">
        <v>46</v>
      </c>
      <c r="D37" t="s">
        <v>49</v>
      </c>
      <c r="E37">
        <v>4</v>
      </c>
      <c r="F37">
        <v>4792</v>
      </c>
      <c r="G37" s="2" t="s">
        <v>117</v>
      </c>
    </row>
    <row r="38" spans="1:7" x14ac:dyDescent="0.25">
      <c r="A38" t="s">
        <v>6</v>
      </c>
      <c r="B38" t="s">
        <v>7</v>
      </c>
      <c r="C38" t="s">
        <v>46</v>
      </c>
      <c r="D38" t="s">
        <v>50</v>
      </c>
      <c r="E38">
        <v>2</v>
      </c>
      <c r="F38">
        <v>2396</v>
      </c>
      <c r="G38" s="2" t="s">
        <v>118</v>
      </c>
    </row>
    <row r="39" spans="1:7" x14ac:dyDescent="0.25">
      <c r="A39" t="s">
        <v>6</v>
      </c>
      <c r="B39" t="s">
        <v>7</v>
      </c>
      <c r="C39" t="s">
        <v>46</v>
      </c>
      <c r="D39" t="s">
        <v>51</v>
      </c>
      <c r="E39">
        <v>1</v>
      </c>
      <c r="F39">
        <v>1198</v>
      </c>
      <c r="G39" s="2" t="s">
        <v>119</v>
      </c>
    </row>
    <row r="40" spans="1:7" x14ac:dyDescent="0.25">
      <c r="A40" t="s">
        <v>6</v>
      </c>
      <c r="B40" t="s">
        <v>7</v>
      </c>
      <c r="C40" t="s">
        <v>46</v>
      </c>
      <c r="D40" t="s">
        <v>52</v>
      </c>
      <c r="E40">
        <v>2</v>
      </c>
      <c r="F40">
        <v>2396</v>
      </c>
      <c r="G40" s="2" t="s">
        <v>120</v>
      </c>
    </row>
    <row r="41" spans="1:7" x14ac:dyDescent="0.25">
      <c r="A41" t="s">
        <v>6</v>
      </c>
      <c r="B41" t="s">
        <v>7</v>
      </c>
      <c r="C41" t="s">
        <v>46</v>
      </c>
      <c r="D41" t="s">
        <v>53</v>
      </c>
      <c r="E41">
        <v>2</v>
      </c>
      <c r="F41">
        <v>2396</v>
      </c>
      <c r="G41" s="2" t="s">
        <v>121</v>
      </c>
    </row>
    <row r="42" spans="1:7" x14ac:dyDescent="0.25">
      <c r="A42" t="s">
        <v>6</v>
      </c>
      <c r="B42" t="s">
        <v>7</v>
      </c>
      <c r="C42" t="s">
        <v>46</v>
      </c>
      <c r="D42" t="s">
        <v>54</v>
      </c>
      <c r="E42">
        <v>2</v>
      </c>
      <c r="F42">
        <v>2396</v>
      </c>
      <c r="G42" s="2" t="s">
        <v>122</v>
      </c>
    </row>
    <row r="43" spans="1:7" x14ac:dyDescent="0.25">
      <c r="A43" t="s">
        <v>6</v>
      </c>
      <c r="B43" t="s">
        <v>7</v>
      </c>
      <c r="C43" t="s">
        <v>55</v>
      </c>
      <c r="D43" t="s">
        <v>56</v>
      </c>
      <c r="E43">
        <v>1</v>
      </c>
      <c r="F43">
        <v>1198</v>
      </c>
      <c r="G43" s="2" t="s">
        <v>123</v>
      </c>
    </row>
    <row r="44" spans="1:7" x14ac:dyDescent="0.25">
      <c r="A44" t="s">
        <v>6</v>
      </c>
      <c r="B44" t="s">
        <v>7</v>
      </c>
      <c r="C44" t="s">
        <v>55</v>
      </c>
      <c r="D44" t="s">
        <v>57</v>
      </c>
      <c r="E44">
        <v>1</v>
      </c>
      <c r="F44">
        <v>1198</v>
      </c>
      <c r="G44" s="2" t="s">
        <v>124</v>
      </c>
    </row>
    <row r="45" spans="1:7" x14ac:dyDescent="0.25">
      <c r="A45" t="s">
        <v>6</v>
      </c>
      <c r="B45" t="s">
        <v>7</v>
      </c>
      <c r="C45" t="s">
        <v>55</v>
      </c>
      <c r="D45" t="s">
        <v>58</v>
      </c>
      <c r="E45">
        <v>1</v>
      </c>
      <c r="F45">
        <v>1198</v>
      </c>
      <c r="G45" s="2" t="s">
        <v>125</v>
      </c>
    </row>
    <row r="46" spans="1:7" x14ac:dyDescent="0.25">
      <c r="A46" t="s">
        <v>6</v>
      </c>
      <c r="B46" t="s">
        <v>7</v>
      </c>
      <c r="C46" t="s">
        <v>55</v>
      </c>
      <c r="D46" t="s">
        <v>59</v>
      </c>
      <c r="E46">
        <v>1</v>
      </c>
      <c r="F46">
        <v>1198</v>
      </c>
      <c r="G46" s="2" t="s">
        <v>126</v>
      </c>
    </row>
    <row r="47" spans="1:7" x14ac:dyDescent="0.25">
      <c r="A47" t="s">
        <v>6</v>
      </c>
      <c r="B47" t="s">
        <v>7</v>
      </c>
      <c r="C47" t="s">
        <v>55</v>
      </c>
      <c r="D47" t="s">
        <v>44</v>
      </c>
      <c r="E47">
        <v>4</v>
      </c>
      <c r="F47">
        <v>4792</v>
      </c>
      <c r="G47" s="2" t="s">
        <v>127</v>
      </c>
    </row>
    <row r="48" spans="1:7" x14ac:dyDescent="0.25">
      <c r="A48" t="s">
        <v>6</v>
      </c>
      <c r="B48" t="s">
        <v>7</v>
      </c>
      <c r="C48" t="s">
        <v>55</v>
      </c>
      <c r="D48" t="s">
        <v>60</v>
      </c>
      <c r="E48">
        <v>1</v>
      </c>
      <c r="F48">
        <v>1198</v>
      </c>
      <c r="G48" s="2" t="s">
        <v>128</v>
      </c>
    </row>
    <row r="49" spans="1:7" x14ac:dyDescent="0.25">
      <c r="A49" t="s">
        <v>6</v>
      </c>
      <c r="B49" t="s">
        <v>7</v>
      </c>
      <c r="C49" t="s">
        <v>55</v>
      </c>
      <c r="D49" t="s">
        <v>61</v>
      </c>
      <c r="E49">
        <v>1</v>
      </c>
      <c r="F49">
        <v>1198</v>
      </c>
      <c r="G49" s="2" t="s">
        <v>129</v>
      </c>
    </row>
    <row r="50" spans="1:7" x14ac:dyDescent="0.25">
      <c r="A50" t="s">
        <v>6</v>
      </c>
      <c r="B50" t="s">
        <v>7</v>
      </c>
      <c r="C50" t="s">
        <v>55</v>
      </c>
      <c r="D50" t="s">
        <v>41</v>
      </c>
      <c r="E50">
        <v>1</v>
      </c>
      <c r="F50">
        <v>1198</v>
      </c>
      <c r="G50" s="2" t="s">
        <v>130</v>
      </c>
    </row>
    <row r="51" spans="1:7" x14ac:dyDescent="0.25">
      <c r="A51" t="s">
        <v>6</v>
      </c>
      <c r="B51" t="s">
        <v>7</v>
      </c>
      <c r="C51" t="s">
        <v>55</v>
      </c>
      <c r="D51" t="s">
        <v>62</v>
      </c>
      <c r="E51">
        <v>1</v>
      </c>
      <c r="F51">
        <v>1198</v>
      </c>
      <c r="G51" s="2" t="s">
        <v>131</v>
      </c>
    </row>
    <row r="52" spans="1:7" x14ac:dyDescent="0.25">
      <c r="A52" t="s">
        <v>6</v>
      </c>
      <c r="B52" t="s">
        <v>7</v>
      </c>
      <c r="C52" t="s">
        <v>55</v>
      </c>
      <c r="D52" t="s">
        <v>63</v>
      </c>
      <c r="E52">
        <v>1</v>
      </c>
      <c r="F52">
        <v>1198</v>
      </c>
      <c r="G52" s="2" t="s">
        <v>132</v>
      </c>
    </row>
    <row r="53" spans="1:7" x14ac:dyDescent="0.25">
      <c r="A53" t="s">
        <v>6</v>
      </c>
      <c r="B53" t="s">
        <v>7</v>
      </c>
      <c r="C53" t="s">
        <v>55</v>
      </c>
      <c r="D53" t="s">
        <v>64</v>
      </c>
      <c r="E53">
        <v>1</v>
      </c>
      <c r="F53">
        <v>1198</v>
      </c>
      <c r="G53" s="2" t="s">
        <v>133</v>
      </c>
    </row>
    <row r="54" spans="1:7" x14ac:dyDescent="0.25">
      <c r="A54" t="s">
        <v>6</v>
      </c>
      <c r="B54" t="s">
        <v>7</v>
      </c>
      <c r="C54" t="s">
        <v>17</v>
      </c>
      <c r="D54" t="s">
        <v>65</v>
      </c>
      <c r="E54">
        <f>F54/1198</f>
        <v>3.6727879799666109E-2</v>
      </c>
      <c r="F54">
        <v>44</v>
      </c>
      <c r="G54" s="2" t="s">
        <v>134</v>
      </c>
    </row>
    <row r="55" spans="1:7" x14ac:dyDescent="0.25">
      <c r="A55" t="s">
        <v>6</v>
      </c>
      <c r="B55" t="s">
        <v>7</v>
      </c>
      <c r="C55" t="s">
        <v>17</v>
      </c>
      <c r="D55" t="s">
        <v>66</v>
      </c>
      <c r="E55">
        <f t="shared" ref="E55:E69" si="1">F55/1198</f>
        <v>8.3472454090150253E-4</v>
      </c>
      <c r="F55">
        <v>1</v>
      </c>
      <c r="G55" s="2" t="s">
        <v>135</v>
      </c>
    </row>
    <row r="56" spans="1:7" x14ac:dyDescent="0.25">
      <c r="A56" t="s">
        <v>6</v>
      </c>
      <c r="B56" t="s">
        <v>7</v>
      </c>
      <c r="C56" t="s">
        <v>17</v>
      </c>
      <c r="D56" t="s">
        <v>67</v>
      </c>
      <c r="E56">
        <f t="shared" si="1"/>
        <v>8.4307178631051749E-2</v>
      </c>
      <c r="F56">
        <v>101</v>
      </c>
      <c r="G56" s="2" t="s">
        <v>136</v>
      </c>
    </row>
    <row r="57" spans="1:7" x14ac:dyDescent="0.25">
      <c r="A57" t="s">
        <v>6</v>
      </c>
      <c r="B57" t="s">
        <v>7</v>
      </c>
      <c r="C57" t="s">
        <v>17</v>
      </c>
      <c r="D57" t="s">
        <v>68</v>
      </c>
      <c r="E57">
        <f t="shared" si="1"/>
        <v>2.337228714524207E-2</v>
      </c>
      <c r="F57">
        <v>28</v>
      </c>
      <c r="G57" s="2" t="s">
        <v>137</v>
      </c>
    </row>
    <row r="58" spans="1:7" x14ac:dyDescent="0.25">
      <c r="A58" t="s">
        <v>6</v>
      </c>
      <c r="B58" t="s">
        <v>7</v>
      </c>
      <c r="C58" t="s">
        <v>17</v>
      </c>
      <c r="D58" t="s">
        <v>69</v>
      </c>
      <c r="E58">
        <f t="shared" si="1"/>
        <v>0.10517529215358931</v>
      </c>
      <c r="F58">
        <v>126</v>
      </c>
      <c r="G58" s="2" t="s">
        <v>138</v>
      </c>
    </row>
    <row r="59" spans="1:7" x14ac:dyDescent="0.25">
      <c r="A59" t="s">
        <v>6</v>
      </c>
      <c r="B59" t="s">
        <v>7</v>
      </c>
      <c r="C59" t="s">
        <v>17</v>
      </c>
      <c r="D59" t="s">
        <v>70</v>
      </c>
      <c r="E59">
        <f t="shared" si="1"/>
        <v>1.6694490818030051E-3</v>
      </c>
      <c r="F59">
        <v>2</v>
      </c>
      <c r="G59" s="2" t="s">
        <v>139</v>
      </c>
    </row>
    <row r="60" spans="1:7" x14ac:dyDescent="0.25">
      <c r="A60" t="s">
        <v>6</v>
      </c>
      <c r="B60" t="s">
        <v>7</v>
      </c>
      <c r="C60" t="s">
        <v>17</v>
      </c>
      <c r="D60" t="s">
        <v>71</v>
      </c>
      <c r="E60">
        <f t="shared" si="1"/>
        <v>7.5125208681135229E-3</v>
      </c>
      <c r="F60">
        <v>9</v>
      </c>
      <c r="G60" s="2" t="s">
        <v>140</v>
      </c>
    </row>
    <row r="61" spans="1:7" x14ac:dyDescent="0.25">
      <c r="A61" t="s">
        <v>6</v>
      </c>
      <c r="B61" t="s">
        <v>7</v>
      </c>
      <c r="C61" t="s">
        <v>17</v>
      </c>
      <c r="D61" t="s">
        <v>72</v>
      </c>
      <c r="E61">
        <f t="shared" si="1"/>
        <v>8.3472454090150253E-4</v>
      </c>
      <c r="F61">
        <v>1</v>
      </c>
      <c r="G61" s="2" t="s">
        <v>141</v>
      </c>
    </row>
    <row r="62" spans="1:7" x14ac:dyDescent="0.25">
      <c r="A62" t="s">
        <v>6</v>
      </c>
      <c r="B62" t="s">
        <v>7</v>
      </c>
      <c r="C62" t="s">
        <v>17</v>
      </c>
      <c r="D62" t="s">
        <v>73</v>
      </c>
      <c r="E62">
        <f t="shared" si="1"/>
        <v>8.3472454090150253E-4</v>
      </c>
      <c r="F62">
        <v>1</v>
      </c>
      <c r="G62" s="2" t="s">
        <v>142</v>
      </c>
    </row>
    <row r="63" spans="1:7" x14ac:dyDescent="0.25">
      <c r="A63" t="s">
        <v>6</v>
      </c>
      <c r="B63" t="s">
        <v>7</v>
      </c>
      <c r="C63" t="s">
        <v>17</v>
      </c>
      <c r="D63" t="s">
        <v>74</v>
      </c>
      <c r="E63">
        <f t="shared" si="1"/>
        <v>1.6694490818030051E-3</v>
      </c>
      <c r="F63">
        <v>2</v>
      </c>
      <c r="G63" s="2" t="s">
        <v>143</v>
      </c>
    </row>
    <row r="64" spans="1:7" x14ac:dyDescent="0.25">
      <c r="A64" t="s">
        <v>6</v>
      </c>
      <c r="B64" t="s">
        <v>7</v>
      </c>
      <c r="C64" t="s">
        <v>17</v>
      </c>
      <c r="D64" t="s">
        <v>75</v>
      </c>
      <c r="E64">
        <f t="shared" si="1"/>
        <v>1.001669449081803E-2</v>
      </c>
      <c r="F64">
        <v>12</v>
      </c>
      <c r="G64" s="2" t="s">
        <v>144</v>
      </c>
    </row>
    <row r="65" spans="1:7" x14ac:dyDescent="0.25">
      <c r="A65" t="s">
        <v>6</v>
      </c>
      <c r="B65" t="s">
        <v>7</v>
      </c>
      <c r="C65" t="s">
        <v>17</v>
      </c>
      <c r="D65" t="s">
        <v>76</v>
      </c>
      <c r="E65">
        <f t="shared" si="1"/>
        <v>1.6694490818030051E-3</v>
      </c>
      <c r="F65">
        <v>2</v>
      </c>
      <c r="G65" s="2" t="s">
        <v>145</v>
      </c>
    </row>
    <row r="66" spans="1:7" x14ac:dyDescent="0.25">
      <c r="A66" t="s">
        <v>6</v>
      </c>
      <c r="B66" t="s">
        <v>7</v>
      </c>
      <c r="C66" t="s">
        <v>17</v>
      </c>
      <c r="D66" t="s">
        <v>77</v>
      </c>
      <c r="E66">
        <f t="shared" si="1"/>
        <v>5.008347245409015E-3</v>
      </c>
      <c r="F66">
        <v>6</v>
      </c>
      <c r="G66" s="2" t="s">
        <v>146</v>
      </c>
    </row>
    <row r="67" spans="1:7" x14ac:dyDescent="0.25">
      <c r="A67" t="s">
        <v>6</v>
      </c>
      <c r="B67" t="s">
        <v>7</v>
      </c>
      <c r="C67" t="s">
        <v>17</v>
      </c>
      <c r="D67" t="s">
        <v>78</v>
      </c>
      <c r="E67">
        <f t="shared" si="1"/>
        <v>2.1702838063439065E-2</v>
      </c>
      <c r="F67">
        <v>26</v>
      </c>
      <c r="G67" s="2" t="s">
        <v>147</v>
      </c>
    </row>
    <row r="68" spans="1:7" x14ac:dyDescent="0.25">
      <c r="A68" t="s">
        <v>6</v>
      </c>
      <c r="B68" t="s">
        <v>7</v>
      </c>
      <c r="C68" t="s">
        <v>17</v>
      </c>
      <c r="D68" t="s">
        <v>79</v>
      </c>
      <c r="E68">
        <f t="shared" si="1"/>
        <v>3.0050083472454091E-2</v>
      </c>
      <c r="F68">
        <v>36</v>
      </c>
      <c r="G68" s="2" t="s">
        <v>148</v>
      </c>
    </row>
    <row r="69" spans="1:7" x14ac:dyDescent="0.25">
      <c r="A69" t="s">
        <v>6</v>
      </c>
      <c r="B69" t="s">
        <v>7</v>
      </c>
      <c r="C69" t="s">
        <v>17</v>
      </c>
      <c r="D69" t="s">
        <v>80</v>
      </c>
      <c r="E69">
        <f t="shared" si="1"/>
        <v>8.3472454090150253E-4</v>
      </c>
      <c r="F69">
        <v>1</v>
      </c>
      <c r="G69" s="2" t="s">
        <v>149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PCP2 Mtech</cp:lastModifiedBy>
  <dcterms:modified xsi:type="dcterms:W3CDTF">2026-07-14T14:24:58Z</dcterms:modified>
</cp:coreProperties>
</file>